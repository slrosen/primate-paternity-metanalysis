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senbas/Documents/GitHub/primate-paternity-metanalysis/data/paternity-table/"/>
    </mc:Choice>
  </mc:AlternateContent>
  <xr:revisionPtr revIDLastSave="0" documentId="13_ncr:1_{06629E10-3955-C148-9E22-72DA93CB05CF}" xr6:coauthVersionLast="47" xr6:coauthVersionMax="47" xr10:uidLastSave="{00000000-0000-0000-0000-000000000000}"/>
  <bookViews>
    <workbookView xWindow="920" yWindow="10240" windowWidth="34440" windowHeight="20980" xr2:uid="{753B08FC-87E5-D542-8A63-F14E8145DF16}"/>
  </bookViews>
  <sheets>
    <sheet name="Sheet1" sheetId="1" r:id="rId1"/>
    <sheet name="Sheet2" sheetId="2" r:id="rId2"/>
  </sheets>
  <definedNames>
    <definedName name="_xlnm._FilterDatabase" localSheetId="0" hidden="1">Sheet1!$A$1:$X$53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" i="1" l="1"/>
  <c r="P23" i="1"/>
  <c r="K23" i="1"/>
  <c r="O42" i="1"/>
  <c r="O16" i="1"/>
  <c r="O12" i="1"/>
  <c r="O34" i="1" l="1"/>
</calcChain>
</file>

<file path=xl/sharedStrings.xml><?xml version="1.0" encoding="utf-8"?>
<sst xmlns="http://schemas.openxmlformats.org/spreadsheetml/2006/main" count="623" uniqueCount="192">
  <si>
    <t>mass_dimorphism</t>
  </si>
  <si>
    <t>mean_grp_size</t>
  </si>
  <si>
    <t>mean_num_males</t>
  </si>
  <si>
    <t>mean_num_females</t>
  </si>
  <si>
    <t>adult_sex_ratio</t>
  </si>
  <si>
    <t>canine_dimorphism</t>
  </si>
  <si>
    <t>Alouatta caraya</t>
  </si>
  <si>
    <t>Alouatta</t>
  </si>
  <si>
    <t>caraya</t>
  </si>
  <si>
    <t>Alouatta seniculus</t>
  </si>
  <si>
    <t>seniculus</t>
  </si>
  <si>
    <t>Aotus</t>
  </si>
  <si>
    <t>azarai</t>
  </si>
  <si>
    <t>Aotus azarai</t>
  </si>
  <si>
    <t>Brachyteles</t>
  </si>
  <si>
    <t>arachnoides</t>
  </si>
  <si>
    <t>Brachyteles arachnoides</t>
  </si>
  <si>
    <t>testes_source</t>
  </si>
  <si>
    <t>mass_source</t>
  </si>
  <si>
    <t>grpsize_source</t>
  </si>
  <si>
    <t>grp_composition_source</t>
  </si>
  <si>
    <t>canine_source</t>
  </si>
  <si>
    <t>Lupold et al 2019</t>
  </si>
  <si>
    <t>Callicebus</t>
  </si>
  <si>
    <t>Callicebus moloch</t>
  </si>
  <si>
    <t>moloch</t>
  </si>
  <si>
    <t>Cebus</t>
  </si>
  <si>
    <t>Cebus capucinus</t>
  </si>
  <si>
    <t>capucinus</t>
  </si>
  <si>
    <t>Cercopithecus mitis</t>
  </si>
  <si>
    <t>Cercopithecus</t>
  </si>
  <si>
    <t>mitis</t>
  </si>
  <si>
    <t>Cheirogaleus medius</t>
  </si>
  <si>
    <t>Cheirogaleus</t>
  </si>
  <si>
    <t>medius</t>
  </si>
  <si>
    <t>Chlorocebus pygerythrus</t>
  </si>
  <si>
    <t>Chlorocebus</t>
  </si>
  <si>
    <t>pygerythrus</t>
  </si>
  <si>
    <t>Colobus vellerosus</t>
  </si>
  <si>
    <t>Colobus</t>
  </si>
  <si>
    <t>vellerosus</t>
  </si>
  <si>
    <t>Erythrocebus patas</t>
  </si>
  <si>
    <t>Erythrocebus</t>
  </si>
  <si>
    <t>patas</t>
  </si>
  <si>
    <t>Eulemur fulvus</t>
  </si>
  <si>
    <t>Eulemur</t>
  </si>
  <si>
    <t>fulvus</t>
  </si>
  <si>
    <t>rufus</t>
  </si>
  <si>
    <t>Eulemur rubriventer</t>
  </si>
  <si>
    <t>rubriventer</t>
  </si>
  <si>
    <t>Gorilla berengei</t>
  </si>
  <si>
    <t>Gorilla</t>
  </si>
  <si>
    <t>beringei</t>
  </si>
  <si>
    <t>Gorilla gorilla</t>
  </si>
  <si>
    <t>gorilla</t>
  </si>
  <si>
    <t>Hapalemur griseus</t>
  </si>
  <si>
    <t>Hapalemur</t>
  </si>
  <si>
    <t>griseus</t>
  </si>
  <si>
    <t>Hylobates lar</t>
  </si>
  <si>
    <t>Hylobates</t>
  </si>
  <si>
    <t>lar</t>
  </si>
  <si>
    <t>Hylobates muelleri</t>
  </si>
  <si>
    <t>muelleri</t>
  </si>
  <si>
    <t>Indri indri</t>
  </si>
  <si>
    <t>Indri</t>
  </si>
  <si>
    <t>indri</t>
  </si>
  <si>
    <t>Lemur catta</t>
  </si>
  <si>
    <t>Lemur</t>
  </si>
  <si>
    <t>catta</t>
  </si>
  <si>
    <t>Macaca assamensis</t>
  </si>
  <si>
    <t>Macaca</t>
  </si>
  <si>
    <t>assamensis</t>
  </si>
  <si>
    <t>Macaca fascicularis</t>
  </si>
  <si>
    <t>fascicularis</t>
  </si>
  <si>
    <t>Macaca fuscata</t>
  </si>
  <si>
    <t>fuscata</t>
  </si>
  <si>
    <t>Macaca leonina</t>
  </si>
  <si>
    <t>leonina</t>
  </si>
  <si>
    <t xml:space="preserve">Macaca mulatta </t>
  </si>
  <si>
    <t>mulatta</t>
  </si>
  <si>
    <t>Macaca nigra</t>
  </si>
  <si>
    <t>nigra</t>
  </si>
  <si>
    <t>Macaca sinica</t>
  </si>
  <si>
    <t>sinica</t>
  </si>
  <si>
    <t>Macaca sylvanus</t>
  </si>
  <si>
    <t>sylvanus</t>
  </si>
  <si>
    <t>Nomascus gabriellae</t>
  </si>
  <si>
    <t>Nomascus</t>
  </si>
  <si>
    <t>gabriellae</t>
  </si>
  <si>
    <t>Nomascus concolor</t>
  </si>
  <si>
    <t>concolor</t>
  </si>
  <si>
    <t>Pan paniscus</t>
  </si>
  <si>
    <t>Pan</t>
  </si>
  <si>
    <t>paniscus</t>
  </si>
  <si>
    <t>troglodytes</t>
  </si>
  <si>
    <t>Pan troglodytes</t>
  </si>
  <si>
    <t>Papio anubis</t>
  </si>
  <si>
    <t>Papio</t>
  </si>
  <si>
    <t>anubis</t>
  </si>
  <si>
    <t>Papio cynocephalus</t>
  </si>
  <si>
    <t>cynocephalus</t>
  </si>
  <si>
    <t>Papio hamadryas</t>
  </si>
  <si>
    <t>hamadryas</t>
  </si>
  <si>
    <t>Papio papio</t>
  </si>
  <si>
    <t>papio</t>
  </si>
  <si>
    <t>Papio ursinus</t>
  </si>
  <si>
    <t>ursinus</t>
  </si>
  <si>
    <t>Phaner furcifer</t>
  </si>
  <si>
    <t>Phaner</t>
  </si>
  <si>
    <t>furcifer</t>
  </si>
  <si>
    <t>Propithecus verreauxi</t>
  </si>
  <si>
    <t>Propithecus</t>
  </si>
  <si>
    <t>verreauxi</t>
  </si>
  <si>
    <t>Rhinopithecus roxellana</t>
  </si>
  <si>
    <t>Rhinopithecus</t>
  </si>
  <si>
    <t>roxellana</t>
  </si>
  <si>
    <t>Saguinus geoffroyi</t>
  </si>
  <si>
    <t>Saguinus</t>
  </si>
  <si>
    <t>geoffroyi</t>
  </si>
  <si>
    <t>Saguinus mystax</t>
  </si>
  <si>
    <t>mystax</t>
  </si>
  <si>
    <t>Semnopithecus entellus</t>
  </si>
  <si>
    <t>Semnopithecus</t>
  </si>
  <si>
    <t>entellus</t>
  </si>
  <si>
    <t>Tarsius lariang</t>
  </si>
  <si>
    <t>Tarsius</t>
  </si>
  <si>
    <t>lariang</t>
  </si>
  <si>
    <t>Theropithecus gelada</t>
  </si>
  <si>
    <t>Theropithecus</t>
  </si>
  <si>
    <t>gelada</t>
  </si>
  <si>
    <t>Trachypithecus phayrei</t>
  </si>
  <si>
    <t>Trachypithecus</t>
  </si>
  <si>
    <t>phayrei</t>
  </si>
  <si>
    <t>Trachypithecus poliocephalus</t>
  </si>
  <si>
    <t>Pithecia aequatorialis</t>
  </si>
  <si>
    <t>Pithecia</t>
  </si>
  <si>
    <t>pithecia</t>
  </si>
  <si>
    <t>Aquino et al 2014</t>
  </si>
  <si>
    <t>Xiong et al 2009</t>
  </si>
  <si>
    <t>Fischer et al 2017</t>
  </si>
  <si>
    <t>Kamilar &amp; Cooper 2013</t>
  </si>
  <si>
    <t>Used data from T. bancanus from Kamilar &amp; Cooper 2013</t>
  </si>
  <si>
    <t>Samuni et al. 2021; Waller &amp; White 2016; Sakamaki et al. 2018; Lucchesi et al. 2020</t>
  </si>
  <si>
    <t>Biquand et al. 1991</t>
  </si>
  <si>
    <t>Wong &amp; Sicotte 2006</t>
  </si>
  <si>
    <t>Teichroeb &amp; Sicotte 2009</t>
  </si>
  <si>
    <t>Robbins et al. 2007</t>
  </si>
  <si>
    <t>genus_10ktrees_str</t>
  </si>
  <si>
    <t>species_10ktrees_str</t>
  </si>
  <si>
    <t>subspecies_10ktrees_str</t>
  </si>
  <si>
    <t>Samuni et al 2021; Waller &amp; White 2016; Sakamaki et al. 2018; Lucchesi et al. 2020</t>
  </si>
  <si>
    <t>notes</t>
  </si>
  <si>
    <t>Callicebus donacophilus</t>
  </si>
  <si>
    <t>donacophilus</t>
  </si>
  <si>
    <t>Used data from C. moloch from Lupold et al 2019</t>
  </si>
  <si>
    <t>Lepilemur ruficaudatus</t>
  </si>
  <si>
    <t>Lepilemur</t>
  </si>
  <si>
    <t>ruficaudatus</t>
  </si>
  <si>
    <t>Zinner et al 2003</t>
  </si>
  <si>
    <t>Milich 2024</t>
  </si>
  <si>
    <t>Used data from T. leucocephalus</t>
  </si>
  <si>
    <t>poliocephalus</t>
  </si>
  <si>
    <t>non_sex_biased</t>
  </si>
  <si>
    <t>female</t>
  </si>
  <si>
    <t>male</t>
  </si>
  <si>
    <t>N</t>
  </si>
  <si>
    <t>Y</t>
  </si>
  <si>
    <t>multilevel</t>
  </si>
  <si>
    <t>pairbond_type</t>
  </si>
  <si>
    <t>cohesive</t>
  </si>
  <si>
    <t>dispersed</t>
  </si>
  <si>
    <t>Pongo pygmaeus</t>
  </si>
  <si>
    <t>Pongo</t>
  </si>
  <si>
    <t>pygmaeus</t>
  </si>
  <si>
    <t>Pongo abelii</t>
  </si>
  <si>
    <t>abelii</t>
  </si>
  <si>
    <t>van Noordwijk et al 2012</t>
  </si>
  <si>
    <t>Nater et al 2014</t>
  </si>
  <si>
    <t>philopatry_pattern</t>
  </si>
  <si>
    <t>philopatry_source</t>
  </si>
  <si>
    <t>multilevel_source</t>
  </si>
  <si>
    <t>Grueter et al 2017</t>
  </si>
  <si>
    <t>pairbond_type_source</t>
  </si>
  <si>
    <t>Not normally found in MF pairs; classified as dispersed pairbond type because of this, for the n=1 observation in our data where species lives in this configuration</t>
  </si>
  <si>
    <t xml:space="preserve">Calculated testes mass based on provided log10 testis volume in mm3 (10^log_mm3/1000=volume in mL; mass in g = 1.038 x volume in mL). </t>
  </si>
  <si>
    <t>Schulke et al. 2004</t>
  </si>
  <si>
    <t>testes_mass_g</t>
  </si>
  <si>
    <t>mean_male_mass_g</t>
  </si>
  <si>
    <t>mean_female_mass_g</t>
  </si>
  <si>
    <t>Kappeler 1997</t>
  </si>
  <si>
    <t xml:space="preserve">Calculated testes mass based on provided testis volume in mm3 (mm3/1000=volume in mL; mass in g = 1.038 x volume in mL). </t>
  </si>
  <si>
    <t>Species scientific name (in our database)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</si>
</sst>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 (Body)"/>
    </font>
    <font>
      <sz val="10"/>
      <color theme="1"/>
      <name val="Calibri (Body)"/>
    </font>
    <font>
      <sz val="10"/>
      <color rgb="FF00000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43E1-5E17-3847-B31B-8026F401C85B}">
  <dimension ref="A1:Y53"/>
  <sheetViews>
    <sheetView tabSelected="1" zoomScale="150" zoomScaleNormal="150" workbookViewId="0">
      <selection activeCell="A2" sqref="A2"/>
    </sheetView>
  </sheetViews>
  <sheetFormatPr baseColWidth="10" defaultRowHeight="14" x14ac:dyDescent="0.2"/>
  <cols>
    <col min="1" max="1" width="28.1640625" style="4" customWidth="1"/>
    <col min="2" max="20" width="10.83203125" style="4" customWidth="1"/>
    <col min="21" max="21" width="22.5" style="4" customWidth="1"/>
    <col min="22" max="16384" width="10.83203125" style="4"/>
  </cols>
  <sheetData>
    <row r="1" spans="1:25" ht="30" x14ac:dyDescent="0.2">
      <c r="A1" s="3" t="s">
        <v>191</v>
      </c>
      <c r="B1" s="3" t="s">
        <v>147</v>
      </c>
      <c r="C1" s="3" t="s">
        <v>148</v>
      </c>
      <c r="D1" s="3" t="s">
        <v>149</v>
      </c>
      <c r="E1" s="3" t="s">
        <v>178</v>
      </c>
      <c r="F1" s="3" t="s">
        <v>167</v>
      </c>
      <c r="G1" s="3" t="s">
        <v>168</v>
      </c>
      <c r="H1" s="3" t="s">
        <v>186</v>
      </c>
      <c r="I1" s="3" t="s">
        <v>187</v>
      </c>
      <c r="J1" s="3" t="s">
        <v>188</v>
      </c>
      <c r="K1" s="3" t="s">
        <v>0</v>
      </c>
      <c r="L1" s="3" t="s">
        <v>1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179</v>
      </c>
      <c r="R1" s="3" t="s">
        <v>180</v>
      </c>
      <c r="S1" s="3" t="s">
        <v>182</v>
      </c>
      <c r="T1" s="3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151</v>
      </c>
    </row>
    <row r="2" spans="1:25" x14ac:dyDescent="0.2">
      <c r="A2" s="4" t="s">
        <v>6</v>
      </c>
      <c r="B2" s="5" t="s">
        <v>7</v>
      </c>
      <c r="C2" s="5" t="s">
        <v>8</v>
      </c>
      <c r="E2" s="4" t="s">
        <v>163</v>
      </c>
      <c r="F2" s="4" t="s">
        <v>165</v>
      </c>
      <c r="H2" s="4">
        <v>18.37</v>
      </c>
      <c r="I2" s="4">
        <v>6525</v>
      </c>
      <c r="J2" s="4">
        <v>4240</v>
      </c>
      <c r="K2" s="4">
        <v>1.5389150943396226</v>
      </c>
      <c r="L2" s="4">
        <v>8</v>
      </c>
      <c r="M2" s="4">
        <v>2.2999999999999998</v>
      </c>
      <c r="N2" s="4">
        <v>3.3</v>
      </c>
      <c r="O2" s="4">
        <v>1.4347826086956521</v>
      </c>
      <c r="P2" s="4">
        <v>1.5418000000000001</v>
      </c>
      <c r="Q2" s="4" t="s">
        <v>159</v>
      </c>
      <c r="R2" s="4" t="s">
        <v>181</v>
      </c>
      <c r="T2" s="4" t="s">
        <v>22</v>
      </c>
      <c r="U2" s="4" t="s">
        <v>140</v>
      </c>
      <c r="V2" s="4" t="s">
        <v>140</v>
      </c>
      <c r="W2" s="4" t="s">
        <v>140</v>
      </c>
      <c r="X2" s="4" t="s">
        <v>22</v>
      </c>
    </row>
    <row r="3" spans="1:25" x14ac:dyDescent="0.2">
      <c r="A3" s="5" t="s">
        <v>9</v>
      </c>
      <c r="B3" s="5" t="s">
        <v>7</v>
      </c>
      <c r="C3" s="5" t="s">
        <v>10</v>
      </c>
      <c r="E3" s="4" t="s">
        <v>163</v>
      </c>
      <c r="F3" s="4" t="s">
        <v>165</v>
      </c>
      <c r="H3" s="4">
        <v>3.75</v>
      </c>
      <c r="I3" s="4">
        <v>6690</v>
      </c>
      <c r="J3" s="4">
        <v>5210</v>
      </c>
      <c r="K3" s="4">
        <v>1.2840690978886755</v>
      </c>
      <c r="L3" s="4">
        <v>7.1</v>
      </c>
      <c r="M3" s="4">
        <v>1.7</v>
      </c>
      <c r="N3" s="4">
        <v>2.2000000000000002</v>
      </c>
      <c r="O3" s="4">
        <v>1.2941176470588236</v>
      </c>
      <c r="P3" s="4">
        <v>1.4637</v>
      </c>
      <c r="Q3" s="4" t="s">
        <v>159</v>
      </c>
      <c r="R3" s="4" t="s">
        <v>181</v>
      </c>
      <c r="T3" s="4" t="s">
        <v>22</v>
      </c>
      <c r="U3" s="4" t="s">
        <v>22</v>
      </c>
      <c r="V3" s="4" t="s">
        <v>140</v>
      </c>
      <c r="W3" s="4" t="s">
        <v>140</v>
      </c>
      <c r="X3" s="4" t="s">
        <v>22</v>
      </c>
    </row>
    <row r="4" spans="1:25" x14ac:dyDescent="0.2">
      <c r="A4" s="4" t="s">
        <v>13</v>
      </c>
      <c r="B4" s="6" t="s">
        <v>11</v>
      </c>
      <c r="C4" s="6" t="s">
        <v>12</v>
      </c>
      <c r="E4" s="4" t="s">
        <v>163</v>
      </c>
      <c r="F4" s="4" t="s">
        <v>165</v>
      </c>
      <c r="G4" s="4" t="s">
        <v>169</v>
      </c>
      <c r="I4" s="4">
        <v>1180</v>
      </c>
      <c r="J4" s="4">
        <v>1230</v>
      </c>
      <c r="K4" s="4">
        <v>0.95934959349593496</v>
      </c>
      <c r="L4" s="4">
        <v>3.1</v>
      </c>
      <c r="M4" s="4">
        <v>1</v>
      </c>
      <c r="N4" s="4">
        <v>1</v>
      </c>
      <c r="O4" s="4">
        <v>1</v>
      </c>
      <c r="Q4" s="4" t="s">
        <v>159</v>
      </c>
      <c r="R4" s="4" t="s">
        <v>181</v>
      </c>
      <c r="U4" s="4" t="s">
        <v>140</v>
      </c>
      <c r="V4" s="4" t="s">
        <v>140</v>
      </c>
      <c r="W4" s="4" t="s">
        <v>140</v>
      </c>
    </row>
    <row r="5" spans="1:25" x14ac:dyDescent="0.2">
      <c r="A5" s="4" t="s">
        <v>16</v>
      </c>
      <c r="B5" s="6" t="s">
        <v>14</v>
      </c>
      <c r="C5" s="6" t="s">
        <v>15</v>
      </c>
      <c r="E5" s="4" t="s">
        <v>164</v>
      </c>
      <c r="F5" s="4" t="s">
        <v>165</v>
      </c>
      <c r="I5" s="4">
        <v>9610</v>
      </c>
      <c r="J5" s="4">
        <v>8070</v>
      </c>
      <c r="K5" s="4">
        <v>1.190830235439901</v>
      </c>
      <c r="L5" s="4">
        <v>20.9</v>
      </c>
      <c r="M5" s="4">
        <v>7</v>
      </c>
      <c r="N5" s="4">
        <v>7.1</v>
      </c>
      <c r="O5" s="4">
        <v>1.0142857142857142</v>
      </c>
      <c r="P5" s="4">
        <v>1.3355999999999999</v>
      </c>
      <c r="Q5" s="4" t="s">
        <v>159</v>
      </c>
      <c r="R5" s="4" t="s">
        <v>181</v>
      </c>
      <c r="U5" s="4" t="s">
        <v>22</v>
      </c>
      <c r="V5" s="4" t="s">
        <v>140</v>
      </c>
      <c r="W5" s="4" t="s">
        <v>140</v>
      </c>
      <c r="X5" s="4" t="s">
        <v>22</v>
      </c>
    </row>
    <row r="6" spans="1:25" x14ac:dyDescent="0.2">
      <c r="A6" s="4" t="s">
        <v>152</v>
      </c>
      <c r="B6" s="6" t="s">
        <v>23</v>
      </c>
      <c r="C6" s="6" t="s">
        <v>153</v>
      </c>
      <c r="E6" s="4" t="s">
        <v>163</v>
      </c>
      <c r="F6" s="4" t="s">
        <v>165</v>
      </c>
      <c r="G6" s="4" t="s">
        <v>169</v>
      </c>
      <c r="I6" s="4">
        <v>1020</v>
      </c>
      <c r="J6" s="4">
        <v>956</v>
      </c>
      <c r="K6" s="4">
        <v>1.0629999999999999</v>
      </c>
      <c r="L6" s="4">
        <v>3.5</v>
      </c>
      <c r="M6" s="4">
        <v>1</v>
      </c>
      <c r="N6" s="4">
        <v>1</v>
      </c>
      <c r="O6" s="4">
        <v>1</v>
      </c>
      <c r="P6" s="4">
        <v>1.079</v>
      </c>
      <c r="Q6" s="4" t="s">
        <v>159</v>
      </c>
      <c r="R6" s="4" t="s">
        <v>181</v>
      </c>
      <c r="U6" s="4" t="s">
        <v>22</v>
      </c>
      <c r="V6" s="4" t="s">
        <v>22</v>
      </c>
      <c r="W6" s="4" t="s">
        <v>22</v>
      </c>
      <c r="X6" s="4" t="s">
        <v>22</v>
      </c>
      <c r="Y6" s="4" t="s">
        <v>154</v>
      </c>
    </row>
    <row r="7" spans="1:25" x14ac:dyDescent="0.2">
      <c r="A7" s="4" t="s">
        <v>24</v>
      </c>
      <c r="B7" s="4" t="s">
        <v>23</v>
      </c>
      <c r="C7" s="4" t="s">
        <v>25</v>
      </c>
      <c r="E7" s="4" t="s">
        <v>163</v>
      </c>
      <c r="F7" s="4" t="s">
        <v>165</v>
      </c>
      <c r="G7" s="4" t="s">
        <v>169</v>
      </c>
      <c r="I7" s="4">
        <v>1020</v>
      </c>
      <c r="J7" s="4">
        <v>956</v>
      </c>
      <c r="K7" s="4">
        <v>1.0629999999999999</v>
      </c>
      <c r="L7" s="4">
        <v>3.5</v>
      </c>
      <c r="M7" s="4">
        <v>1</v>
      </c>
      <c r="N7" s="4">
        <v>1</v>
      </c>
      <c r="O7" s="4">
        <v>1</v>
      </c>
      <c r="P7" s="4">
        <v>1.079</v>
      </c>
      <c r="Q7" s="4" t="s">
        <v>159</v>
      </c>
      <c r="R7" s="4" t="s">
        <v>181</v>
      </c>
      <c r="U7" s="4" t="s">
        <v>22</v>
      </c>
      <c r="V7" s="4" t="s">
        <v>22</v>
      </c>
      <c r="W7" s="4" t="s">
        <v>22</v>
      </c>
      <c r="X7" s="4" t="s">
        <v>22</v>
      </c>
    </row>
    <row r="8" spans="1:25" x14ac:dyDescent="0.2">
      <c r="A8" s="4" t="s">
        <v>27</v>
      </c>
      <c r="B8" s="4" t="s">
        <v>26</v>
      </c>
      <c r="C8" s="4" t="s">
        <v>28</v>
      </c>
      <c r="E8" s="4" t="s">
        <v>163</v>
      </c>
      <c r="F8" s="4" t="s">
        <v>165</v>
      </c>
      <c r="I8" s="4">
        <v>3285.7647058823532</v>
      </c>
      <c r="J8" s="4">
        <v>2436.5</v>
      </c>
      <c r="K8" s="4">
        <v>1.3485592882751296</v>
      </c>
      <c r="L8" s="4">
        <v>16.399999999999999</v>
      </c>
      <c r="M8" s="4">
        <v>3.4</v>
      </c>
      <c r="N8" s="4">
        <v>5</v>
      </c>
      <c r="O8" s="4">
        <v>1.4705882352941178</v>
      </c>
      <c r="P8" s="4">
        <v>1.5814999999999999</v>
      </c>
      <c r="Q8" s="4" t="s">
        <v>159</v>
      </c>
      <c r="R8" s="4" t="s">
        <v>181</v>
      </c>
      <c r="U8" s="4" t="s">
        <v>140</v>
      </c>
      <c r="V8" s="4" t="s">
        <v>140</v>
      </c>
      <c r="W8" s="4" t="s">
        <v>140</v>
      </c>
      <c r="X8" s="4" t="s">
        <v>22</v>
      </c>
    </row>
    <row r="9" spans="1:25" x14ac:dyDescent="0.2">
      <c r="A9" s="4" t="s">
        <v>29</v>
      </c>
      <c r="B9" s="4" t="s">
        <v>30</v>
      </c>
      <c r="C9" s="4" t="s">
        <v>31</v>
      </c>
      <c r="E9" s="4" t="s">
        <v>163</v>
      </c>
      <c r="F9" s="4" t="s">
        <v>165</v>
      </c>
      <c r="I9" s="4">
        <v>7590.625</v>
      </c>
      <c r="J9" s="4">
        <v>4628</v>
      </c>
      <c r="K9" s="4">
        <v>1.6401523336214348</v>
      </c>
      <c r="L9" s="4">
        <v>18.600000000000001</v>
      </c>
      <c r="M9" s="4">
        <v>1</v>
      </c>
      <c r="N9" s="4">
        <v>8.8000000000000007</v>
      </c>
      <c r="O9" s="4">
        <v>8.8000000000000007</v>
      </c>
      <c r="P9" s="4">
        <v>1.9699339216653797</v>
      </c>
      <c r="Q9" s="4" t="s">
        <v>159</v>
      </c>
      <c r="R9" s="4" t="s">
        <v>181</v>
      </c>
      <c r="U9" s="4" t="s">
        <v>140</v>
      </c>
      <c r="V9" s="4" t="s">
        <v>140</v>
      </c>
      <c r="W9" s="4" t="s">
        <v>140</v>
      </c>
      <c r="X9" s="4" t="s">
        <v>140</v>
      </c>
    </row>
    <row r="10" spans="1:25" x14ac:dyDescent="0.2">
      <c r="A10" s="8" t="s">
        <v>32</v>
      </c>
      <c r="B10" s="2" t="s">
        <v>33</v>
      </c>
      <c r="C10" s="2" t="s">
        <v>34</v>
      </c>
      <c r="E10" s="4" t="s">
        <v>163</v>
      </c>
      <c r="F10" s="4" t="s">
        <v>165</v>
      </c>
      <c r="G10" s="4" t="s">
        <v>170</v>
      </c>
      <c r="H10" s="4">
        <v>1.1200000000000001</v>
      </c>
      <c r="I10" s="4">
        <v>140</v>
      </c>
      <c r="J10" s="4">
        <v>139</v>
      </c>
      <c r="K10" s="4">
        <v>1.0071942446043165</v>
      </c>
      <c r="L10" s="4">
        <v>5.5</v>
      </c>
      <c r="M10" s="4">
        <v>1</v>
      </c>
      <c r="N10" s="4">
        <v>1</v>
      </c>
      <c r="O10" s="4">
        <v>1</v>
      </c>
      <c r="P10" s="4">
        <v>0.94176453359379098</v>
      </c>
      <c r="Q10" s="4" t="s">
        <v>159</v>
      </c>
      <c r="R10" s="4" t="s">
        <v>181</v>
      </c>
      <c r="T10" s="4" t="s">
        <v>22</v>
      </c>
      <c r="U10" s="4" t="s">
        <v>140</v>
      </c>
      <c r="V10" s="4" t="s">
        <v>22</v>
      </c>
      <c r="W10" s="4" t="s">
        <v>140</v>
      </c>
      <c r="X10" s="4" t="s">
        <v>22</v>
      </c>
    </row>
    <row r="11" spans="1:25" x14ac:dyDescent="0.2">
      <c r="A11" s="2" t="s">
        <v>35</v>
      </c>
      <c r="B11" s="2" t="s">
        <v>36</v>
      </c>
      <c r="C11" s="2" t="s">
        <v>37</v>
      </c>
      <c r="E11" s="4" t="s">
        <v>163</v>
      </c>
      <c r="F11" s="4" t="s">
        <v>165</v>
      </c>
      <c r="H11" s="4">
        <v>20.6</v>
      </c>
      <c r="I11" s="4">
        <v>5071.2466666666669</v>
      </c>
      <c r="J11" s="4">
        <v>3575.8</v>
      </c>
      <c r="K11" s="4">
        <v>1.4182131737420065</v>
      </c>
      <c r="L11" s="4">
        <v>21</v>
      </c>
      <c r="P11" s="4">
        <v>1.6970000000000001</v>
      </c>
      <c r="Q11" s="4" t="s">
        <v>159</v>
      </c>
      <c r="R11" s="4" t="s">
        <v>181</v>
      </c>
      <c r="T11" s="4" t="s">
        <v>22</v>
      </c>
      <c r="U11" s="4" t="s">
        <v>140</v>
      </c>
      <c r="V11" s="4" t="s">
        <v>22</v>
      </c>
      <c r="X11" s="4" t="s">
        <v>22</v>
      </c>
    </row>
    <row r="12" spans="1:25" x14ac:dyDescent="0.2">
      <c r="A12" s="2" t="s">
        <v>38</v>
      </c>
      <c r="B12" s="2" t="s">
        <v>39</v>
      </c>
      <c r="C12" s="2" t="s">
        <v>40</v>
      </c>
      <c r="E12" s="4" t="s">
        <v>163</v>
      </c>
      <c r="F12" s="4" t="s">
        <v>165</v>
      </c>
      <c r="I12" s="4">
        <v>8420</v>
      </c>
      <c r="J12" s="4">
        <v>7220</v>
      </c>
      <c r="K12" s="4">
        <v>1.1662049861495845</v>
      </c>
      <c r="L12" s="4">
        <v>15</v>
      </c>
      <c r="M12" s="4">
        <v>4</v>
      </c>
      <c r="N12" s="4">
        <v>7.6</v>
      </c>
      <c r="O12" s="4">
        <f>N12/M12</f>
        <v>1.9</v>
      </c>
      <c r="Q12" s="4" t="s">
        <v>159</v>
      </c>
      <c r="R12" s="4" t="s">
        <v>181</v>
      </c>
      <c r="U12" s="4" t="s">
        <v>140</v>
      </c>
      <c r="V12" s="4" t="s">
        <v>144</v>
      </c>
      <c r="W12" s="4" t="s">
        <v>145</v>
      </c>
    </row>
    <row r="13" spans="1:25" x14ac:dyDescent="0.2">
      <c r="A13" s="6" t="s">
        <v>41</v>
      </c>
      <c r="B13" s="6" t="s">
        <v>42</v>
      </c>
      <c r="C13" s="6" t="s">
        <v>43</v>
      </c>
      <c r="E13" s="4" t="s">
        <v>163</v>
      </c>
      <c r="F13" s="4" t="s">
        <v>165</v>
      </c>
      <c r="H13" s="4">
        <v>7.2</v>
      </c>
      <c r="I13" s="4">
        <v>12400</v>
      </c>
      <c r="J13" s="4">
        <v>6500</v>
      </c>
      <c r="K13" s="4">
        <v>1.9076923076923078</v>
      </c>
      <c r="L13" s="4">
        <v>28.2</v>
      </c>
      <c r="M13" s="4">
        <v>1.5</v>
      </c>
      <c r="N13" s="4">
        <v>10.4</v>
      </c>
      <c r="O13" s="4">
        <v>6.9333333333333336</v>
      </c>
      <c r="P13" s="4">
        <v>2.1319388576025746</v>
      </c>
      <c r="Q13" s="4" t="s">
        <v>159</v>
      </c>
      <c r="R13" s="4" t="s">
        <v>181</v>
      </c>
      <c r="T13" s="4" t="s">
        <v>22</v>
      </c>
      <c r="U13" s="4" t="s">
        <v>22</v>
      </c>
      <c r="V13" s="4" t="s">
        <v>140</v>
      </c>
      <c r="W13" s="4" t="s">
        <v>140</v>
      </c>
      <c r="X13" s="4" t="s">
        <v>22</v>
      </c>
    </row>
    <row r="14" spans="1:25" x14ac:dyDescent="0.2">
      <c r="A14" s="6" t="s">
        <v>44</v>
      </c>
      <c r="B14" s="6" t="s">
        <v>45</v>
      </c>
      <c r="C14" s="6" t="s">
        <v>46</v>
      </c>
      <c r="D14" s="6" t="s">
        <v>47</v>
      </c>
      <c r="E14" s="4" t="s">
        <v>163</v>
      </c>
      <c r="F14" s="4" t="s">
        <v>165</v>
      </c>
      <c r="G14" s="4" t="s">
        <v>169</v>
      </c>
      <c r="H14" s="4">
        <v>6.3529999999999998</v>
      </c>
      <c r="I14" s="4">
        <v>2250</v>
      </c>
      <c r="J14" s="4">
        <v>2333.3333333333335</v>
      </c>
      <c r="K14" s="4">
        <v>0.96428571428571419</v>
      </c>
      <c r="L14" s="4">
        <v>8.9</v>
      </c>
      <c r="M14" s="4">
        <v>3</v>
      </c>
      <c r="N14" s="4">
        <v>3.5</v>
      </c>
      <c r="O14" s="4">
        <v>1.1666666666666667</v>
      </c>
      <c r="P14" s="4">
        <v>1.176412289395441</v>
      </c>
      <c r="Q14" s="4" t="s">
        <v>159</v>
      </c>
      <c r="R14" s="4" t="s">
        <v>181</v>
      </c>
      <c r="T14" s="4" t="s">
        <v>189</v>
      </c>
      <c r="U14" s="4" t="s">
        <v>140</v>
      </c>
      <c r="V14" s="4" t="s">
        <v>140</v>
      </c>
      <c r="W14" s="4" t="s">
        <v>140</v>
      </c>
      <c r="X14" s="4" t="s">
        <v>22</v>
      </c>
      <c r="Y14" s="4" t="s">
        <v>190</v>
      </c>
    </row>
    <row r="15" spans="1:25" x14ac:dyDescent="0.2">
      <c r="A15" s="6" t="s">
        <v>48</v>
      </c>
      <c r="B15" s="6" t="s">
        <v>45</v>
      </c>
      <c r="C15" s="6" t="s">
        <v>49</v>
      </c>
      <c r="E15" s="4" t="s">
        <v>163</v>
      </c>
      <c r="F15" s="4" t="s">
        <v>165</v>
      </c>
      <c r="G15" s="4" t="s">
        <v>169</v>
      </c>
      <c r="H15" s="4">
        <v>0.87</v>
      </c>
      <c r="I15" s="4">
        <v>1980</v>
      </c>
      <c r="J15" s="4">
        <v>1940</v>
      </c>
      <c r="K15" s="4">
        <v>1.0206185567010309</v>
      </c>
      <c r="L15" s="4">
        <v>3</v>
      </c>
      <c r="M15" s="4">
        <v>1</v>
      </c>
      <c r="N15" s="4">
        <v>1</v>
      </c>
      <c r="O15" s="4">
        <v>1</v>
      </c>
      <c r="P15" s="4">
        <v>1.0512710963671474</v>
      </c>
      <c r="Q15" s="4" t="s">
        <v>159</v>
      </c>
      <c r="R15" s="4" t="s">
        <v>181</v>
      </c>
      <c r="T15" s="4" t="s">
        <v>185</v>
      </c>
      <c r="U15" s="4" t="s">
        <v>22</v>
      </c>
      <c r="V15" s="4" t="s">
        <v>140</v>
      </c>
      <c r="W15" s="4" t="s">
        <v>140</v>
      </c>
      <c r="X15" s="4" t="s">
        <v>22</v>
      </c>
      <c r="Y15" s="4" t="s">
        <v>184</v>
      </c>
    </row>
    <row r="16" spans="1:25" x14ac:dyDescent="0.2">
      <c r="A16" s="6" t="s">
        <v>50</v>
      </c>
      <c r="B16" s="6" t="s">
        <v>51</v>
      </c>
      <c r="C16" s="6" t="s">
        <v>52</v>
      </c>
      <c r="E16" s="4" t="s">
        <v>162</v>
      </c>
      <c r="F16" s="4" t="s">
        <v>165</v>
      </c>
      <c r="H16" s="4">
        <v>28.96</v>
      </c>
      <c r="I16" s="4">
        <v>162500</v>
      </c>
      <c r="J16" s="4">
        <v>97500</v>
      </c>
      <c r="K16" s="4">
        <v>1.6666666666666667</v>
      </c>
      <c r="L16" s="4">
        <v>13.5</v>
      </c>
      <c r="M16" s="4">
        <v>1.8</v>
      </c>
      <c r="N16" s="4">
        <v>4.7</v>
      </c>
      <c r="O16" s="4">
        <f>N16/M16</f>
        <v>2.6111111111111112</v>
      </c>
      <c r="P16" s="4">
        <v>1.81</v>
      </c>
      <c r="Q16" s="4" t="s">
        <v>159</v>
      </c>
      <c r="R16" s="4" t="s">
        <v>181</v>
      </c>
      <c r="T16" s="4" t="s">
        <v>22</v>
      </c>
      <c r="U16" s="4" t="s">
        <v>22</v>
      </c>
      <c r="V16" s="4" t="s">
        <v>146</v>
      </c>
      <c r="W16" s="4" t="s">
        <v>146</v>
      </c>
      <c r="X16" s="4" t="s">
        <v>22</v>
      </c>
    </row>
    <row r="17" spans="1:25" x14ac:dyDescent="0.2">
      <c r="A17" s="1" t="s">
        <v>53</v>
      </c>
      <c r="B17" s="1" t="s">
        <v>51</v>
      </c>
      <c r="C17" s="1" t="s">
        <v>54</v>
      </c>
      <c r="D17" s="1" t="s">
        <v>54</v>
      </c>
      <c r="E17" s="4" t="s">
        <v>163</v>
      </c>
      <c r="F17" s="4" t="s">
        <v>165</v>
      </c>
      <c r="H17" s="4">
        <v>29.6</v>
      </c>
      <c r="I17" s="4">
        <v>170400</v>
      </c>
      <c r="J17" s="4">
        <v>71500</v>
      </c>
      <c r="K17" s="4">
        <v>2.3832167832167834</v>
      </c>
      <c r="L17" s="4">
        <v>7.1</v>
      </c>
      <c r="M17" s="4">
        <v>1.8</v>
      </c>
      <c r="N17" s="4">
        <v>4.4000000000000004</v>
      </c>
      <c r="O17" s="4">
        <v>2.4444444444444446</v>
      </c>
      <c r="P17" s="4">
        <v>1.7390804597701153</v>
      </c>
      <c r="Q17" s="4" t="s">
        <v>159</v>
      </c>
      <c r="R17" s="4" t="s">
        <v>181</v>
      </c>
      <c r="T17" s="4" t="s">
        <v>22</v>
      </c>
      <c r="U17" s="4" t="s">
        <v>22</v>
      </c>
      <c r="V17" s="4" t="s">
        <v>140</v>
      </c>
      <c r="W17" s="4" t="s">
        <v>140</v>
      </c>
      <c r="X17" s="4" t="s">
        <v>22</v>
      </c>
    </row>
    <row r="18" spans="1:25" x14ac:dyDescent="0.2">
      <c r="A18" s="4" t="s">
        <v>55</v>
      </c>
      <c r="B18" s="4" t="s">
        <v>56</v>
      </c>
      <c r="C18" s="4" t="s">
        <v>57</v>
      </c>
      <c r="E18" s="4" t="s">
        <v>163</v>
      </c>
      <c r="F18" s="4" t="s">
        <v>165</v>
      </c>
      <c r="G18" s="4" t="s">
        <v>169</v>
      </c>
      <c r="H18" s="4">
        <v>2.1</v>
      </c>
      <c r="I18" s="4">
        <v>748</v>
      </c>
      <c r="J18" s="4">
        <v>670</v>
      </c>
      <c r="K18" s="4">
        <v>1.1164179104477612</v>
      </c>
      <c r="L18" s="4">
        <v>4.4000000000000004</v>
      </c>
      <c r="M18" s="4">
        <v>1</v>
      </c>
      <c r="N18" s="4">
        <v>1</v>
      </c>
      <c r="O18" s="4">
        <v>1</v>
      </c>
      <c r="P18" s="4">
        <v>1.0050761421319798</v>
      </c>
      <c r="Q18" s="4" t="s">
        <v>159</v>
      </c>
      <c r="R18" s="4" t="s">
        <v>181</v>
      </c>
      <c r="T18" s="4" t="s">
        <v>22</v>
      </c>
      <c r="U18" s="4" t="s">
        <v>140</v>
      </c>
      <c r="V18" s="4" t="s">
        <v>140</v>
      </c>
      <c r="W18" s="4" t="s">
        <v>140</v>
      </c>
      <c r="X18" s="4" t="s">
        <v>22</v>
      </c>
    </row>
    <row r="19" spans="1:25" x14ac:dyDescent="0.2">
      <c r="A19" s="6" t="s">
        <v>58</v>
      </c>
      <c r="B19" s="6" t="s">
        <v>59</v>
      </c>
      <c r="C19" s="6" t="s">
        <v>60</v>
      </c>
      <c r="E19" s="4" t="s">
        <v>163</v>
      </c>
      <c r="F19" s="4" t="s">
        <v>165</v>
      </c>
      <c r="G19" s="4" t="s">
        <v>169</v>
      </c>
      <c r="H19" s="4">
        <v>5.5</v>
      </c>
      <c r="I19" s="4">
        <v>5809.2037037037035</v>
      </c>
      <c r="J19" s="4">
        <v>5380.9250000000002</v>
      </c>
      <c r="K19" s="4">
        <v>1.0795920225061124</v>
      </c>
      <c r="L19" s="4">
        <v>3.3</v>
      </c>
      <c r="M19" s="4">
        <v>1</v>
      </c>
      <c r="N19" s="4">
        <v>1</v>
      </c>
      <c r="O19" s="4">
        <v>1</v>
      </c>
      <c r="P19" s="4">
        <v>1.1602279924002534</v>
      </c>
      <c r="Q19" s="4" t="s">
        <v>159</v>
      </c>
      <c r="R19" s="4" t="s">
        <v>181</v>
      </c>
      <c r="T19" s="4" t="s">
        <v>22</v>
      </c>
      <c r="U19" s="4" t="s">
        <v>140</v>
      </c>
      <c r="V19" s="4" t="s">
        <v>140</v>
      </c>
      <c r="W19" s="4" t="s">
        <v>140</v>
      </c>
      <c r="X19" s="4" t="s">
        <v>22</v>
      </c>
    </row>
    <row r="20" spans="1:25" x14ac:dyDescent="0.2">
      <c r="A20" s="6" t="s">
        <v>61</v>
      </c>
      <c r="B20" s="6" t="s">
        <v>59</v>
      </c>
      <c r="C20" s="6" t="s">
        <v>62</v>
      </c>
      <c r="E20" s="4" t="s">
        <v>163</v>
      </c>
      <c r="F20" s="4" t="s">
        <v>165</v>
      </c>
      <c r="G20" s="4" t="s">
        <v>169</v>
      </c>
      <c r="I20" s="4">
        <v>5632.333333333333</v>
      </c>
      <c r="J20" s="4">
        <v>6010.25</v>
      </c>
      <c r="K20" s="4">
        <v>0.93712130665668369</v>
      </c>
      <c r="L20" s="4">
        <v>3.4</v>
      </c>
      <c r="P20" s="4">
        <v>1.054</v>
      </c>
      <c r="Q20" s="4" t="s">
        <v>159</v>
      </c>
      <c r="R20" s="4" t="s">
        <v>181</v>
      </c>
      <c r="U20" s="4" t="s">
        <v>140</v>
      </c>
      <c r="V20" s="4" t="s">
        <v>22</v>
      </c>
      <c r="X20" s="4" t="s">
        <v>22</v>
      </c>
    </row>
    <row r="21" spans="1:25" x14ac:dyDescent="0.2">
      <c r="A21" s="6" t="s">
        <v>63</v>
      </c>
      <c r="B21" s="6" t="s">
        <v>64</v>
      </c>
      <c r="C21" s="6" t="s">
        <v>65</v>
      </c>
      <c r="E21" s="4" t="s">
        <v>163</v>
      </c>
      <c r="F21" s="4" t="s">
        <v>165</v>
      </c>
      <c r="G21" s="4" t="s">
        <v>169</v>
      </c>
      <c r="H21" s="4">
        <v>1.57</v>
      </c>
      <c r="I21" s="4">
        <v>5830</v>
      </c>
      <c r="J21" s="4">
        <v>6840</v>
      </c>
      <c r="K21" s="4">
        <v>0.85233918128654973</v>
      </c>
      <c r="L21" s="4">
        <v>3.2</v>
      </c>
      <c r="M21" s="4">
        <v>1</v>
      </c>
      <c r="N21" s="4">
        <v>1</v>
      </c>
      <c r="O21" s="4">
        <v>1</v>
      </c>
      <c r="P21" s="4">
        <v>0.99614890885750962</v>
      </c>
      <c r="Q21" s="4" t="s">
        <v>159</v>
      </c>
      <c r="R21" s="4" t="s">
        <v>181</v>
      </c>
      <c r="T21" s="4" t="s">
        <v>185</v>
      </c>
      <c r="U21" s="4" t="s">
        <v>140</v>
      </c>
      <c r="V21" s="4" t="s">
        <v>140</v>
      </c>
      <c r="W21" s="4" t="s">
        <v>140</v>
      </c>
      <c r="X21" s="4" t="s">
        <v>140</v>
      </c>
      <c r="Y21" s="4" t="s">
        <v>184</v>
      </c>
    </row>
    <row r="22" spans="1:25" x14ac:dyDescent="0.2">
      <c r="A22" s="6" t="s">
        <v>66</v>
      </c>
      <c r="B22" s="6" t="s">
        <v>67</v>
      </c>
      <c r="C22" s="6" t="s">
        <v>68</v>
      </c>
      <c r="E22" s="4" t="s">
        <v>163</v>
      </c>
      <c r="F22" s="4" t="s">
        <v>165</v>
      </c>
      <c r="H22" s="4">
        <v>17.8</v>
      </c>
      <c r="I22" s="4">
        <v>2210</v>
      </c>
      <c r="J22" s="4">
        <v>2210</v>
      </c>
      <c r="K22" s="4">
        <v>1</v>
      </c>
      <c r="L22" s="4">
        <v>17</v>
      </c>
      <c r="M22" s="4">
        <v>5.2</v>
      </c>
      <c r="N22" s="4">
        <v>6.4</v>
      </c>
      <c r="O22" s="4">
        <v>1.2307692307692308</v>
      </c>
      <c r="P22" s="4">
        <v>1.185589519650655</v>
      </c>
      <c r="Q22" s="4" t="s">
        <v>159</v>
      </c>
      <c r="R22" s="4" t="s">
        <v>181</v>
      </c>
      <c r="T22" s="4" t="s">
        <v>22</v>
      </c>
      <c r="U22" s="4" t="s">
        <v>22</v>
      </c>
      <c r="V22" s="4" t="s">
        <v>140</v>
      </c>
      <c r="W22" s="4" t="s">
        <v>140</v>
      </c>
      <c r="X22" s="4" t="s">
        <v>22</v>
      </c>
    </row>
    <row r="23" spans="1:25" x14ac:dyDescent="0.2">
      <c r="A23" s="6" t="s">
        <v>155</v>
      </c>
      <c r="B23" s="6" t="s">
        <v>156</v>
      </c>
      <c r="C23" s="6" t="s">
        <v>157</v>
      </c>
      <c r="E23" s="4" t="s">
        <v>163</v>
      </c>
      <c r="F23" s="4" t="s">
        <v>165</v>
      </c>
      <c r="G23" s="4" t="s">
        <v>170</v>
      </c>
      <c r="H23" s="4">
        <v>0.53</v>
      </c>
      <c r="I23" s="4">
        <v>781.6</v>
      </c>
      <c r="J23" s="4">
        <v>779.63</v>
      </c>
      <c r="K23" s="4">
        <f>I23/J23</f>
        <v>1.002526839654708</v>
      </c>
      <c r="M23" s="4">
        <v>1</v>
      </c>
      <c r="N23" s="4">
        <v>1.33</v>
      </c>
      <c r="O23" s="4">
        <f>N23/M23</f>
        <v>1.33</v>
      </c>
      <c r="P23" s="4">
        <f>0.7/0.61</f>
        <v>1.1475409836065573</v>
      </c>
      <c r="Q23" s="4" t="s">
        <v>159</v>
      </c>
      <c r="R23" s="4" t="s">
        <v>181</v>
      </c>
      <c r="T23" s="4" t="s">
        <v>185</v>
      </c>
      <c r="U23" s="4" t="s">
        <v>158</v>
      </c>
      <c r="W23" s="4" t="s">
        <v>158</v>
      </c>
      <c r="X23" s="4" t="s">
        <v>158</v>
      </c>
      <c r="Y23" s="4" t="s">
        <v>184</v>
      </c>
    </row>
    <row r="24" spans="1:25" x14ac:dyDescent="0.2">
      <c r="A24" s="6" t="s">
        <v>69</v>
      </c>
      <c r="B24" s="6" t="s">
        <v>70</v>
      </c>
      <c r="C24" s="6" t="s">
        <v>71</v>
      </c>
      <c r="E24" s="4" t="s">
        <v>163</v>
      </c>
      <c r="F24" s="4" t="s">
        <v>165</v>
      </c>
      <c r="I24" s="4">
        <v>11300</v>
      </c>
      <c r="J24" s="4">
        <v>6900</v>
      </c>
      <c r="K24" s="4">
        <v>1.6376811594202898</v>
      </c>
      <c r="Q24" s="4" t="s">
        <v>159</v>
      </c>
      <c r="R24" s="4" t="s">
        <v>181</v>
      </c>
      <c r="U24" s="4" t="s">
        <v>140</v>
      </c>
    </row>
    <row r="25" spans="1:25" x14ac:dyDescent="0.2">
      <c r="A25" s="6" t="s">
        <v>72</v>
      </c>
      <c r="B25" s="6" t="s">
        <v>70</v>
      </c>
      <c r="C25" s="6" t="s">
        <v>73</v>
      </c>
      <c r="E25" s="4" t="s">
        <v>163</v>
      </c>
      <c r="F25" s="4" t="s">
        <v>165</v>
      </c>
      <c r="H25" s="4">
        <v>35.200000000000003</v>
      </c>
      <c r="I25" s="4">
        <v>4984.2203389830511</v>
      </c>
      <c r="J25" s="4">
        <v>3517.8727272727274</v>
      </c>
      <c r="K25" s="4">
        <v>1.4168279313638295</v>
      </c>
      <c r="L25" s="4">
        <v>27.5</v>
      </c>
      <c r="M25" s="4">
        <v>4.7</v>
      </c>
      <c r="N25" s="4">
        <v>10.6</v>
      </c>
      <c r="O25" s="4">
        <v>2.2553191489361701</v>
      </c>
      <c r="P25" s="4">
        <v>2.2577319587628866</v>
      </c>
      <c r="Q25" s="4" t="s">
        <v>159</v>
      </c>
      <c r="R25" s="4" t="s">
        <v>181</v>
      </c>
      <c r="T25" s="4" t="s">
        <v>22</v>
      </c>
      <c r="U25" s="4" t="s">
        <v>140</v>
      </c>
      <c r="V25" s="4" t="s">
        <v>140</v>
      </c>
      <c r="W25" s="4" t="s">
        <v>140</v>
      </c>
      <c r="X25" s="4" t="s">
        <v>22</v>
      </c>
    </row>
    <row r="26" spans="1:25" x14ac:dyDescent="0.2">
      <c r="A26" s="6" t="s">
        <v>74</v>
      </c>
      <c r="B26" s="6" t="s">
        <v>70</v>
      </c>
      <c r="C26" s="6" t="s">
        <v>75</v>
      </c>
      <c r="E26" s="4" t="s">
        <v>163</v>
      </c>
      <c r="F26" s="4" t="s">
        <v>165</v>
      </c>
      <c r="H26" s="4">
        <v>72.3</v>
      </c>
      <c r="I26" s="4">
        <v>10970</v>
      </c>
      <c r="J26" s="4">
        <v>8030</v>
      </c>
      <c r="K26" s="4">
        <v>1.3661270236612701</v>
      </c>
      <c r="L26" s="4">
        <v>53.7</v>
      </c>
      <c r="M26" s="4">
        <v>3.4</v>
      </c>
      <c r="N26" s="4">
        <v>17.5</v>
      </c>
      <c r="O26" s="4">
        <v>5.1470588235294121</v>
      </c>
      <c r="P26" s="4">
        <v>2.0396246089676744</v>
      </c>
      <c r="Q26" s="4" t="s">
        <v>159</v>
      </c>
      <c r="R26" s="4" t="s">
        <v>181</v>
      </c>
      <c r="T26" s="4" t="s">
        <v>22</v>
      </c>
      <c r="U26" s="4" t="s">
        <v>140</v>
      </c>
      <c r="V26" s="4" t="s">
        <v>140</v>
      </c>
      <c r="W26" s="4" t="s">
        <v>140</v>
      </c>
      <c r="X26" s="4" t="s">
        <v>22</v>
      </c>
    </row>
    <row r="27" spans="1:25" x14ac:dyDescent="0.2">
      <c r="A27" s="6" t="s">
        <v>76</v>
      </c>
      <c r="B27" s="6" t="s">
        <v>70</v>
      </c>
      <c r="C27" s="6" t="s">
        <v>77</v>
      </c>
      <c r="E27" s="4" t="s">
        <v>163</v>
      </c>
      <c r="F27" s="4" t="s">
        <v>165</v>
      </c>
      <c r="I27" s="4">
        <v>6520.5</v>
      </c>
      <c r="J27" s="4">
        <v>4762.666666666667</v>
      </c>
      <c r="K27" s="4">
        <v>1.3690859462486</v>
      </c>
      <c r="Q27" s="4" t="s">
        <v>159</v>
      </c>
      <c r="R27" s="4" t="s">
        <v>181</v>
      </c>
      <c r="U27" s="4" t="s">
        <v>140</v>
      </c>
    </row>
    <row r="28" spans="1:25" x14ac:dyDescent="0.2">
      <c r="A28" s="6" t="s">
        <v>78</v>
      </c>
      <c r="B28" s="6" t="s">
        <v>70</v>
      </c>
      <c r="C28" s="6" t="s">
        <v>79</v>
      </c>
      <c r="E28" s="4" t="s">
        <v>163</v>
      </c>
      <c r="F28" s="4" t="s">
        <v>165</v>
      </c>
      <c r="H28" s="4">
        <v>46</v>
      </c>
      <c r="I28" s="4">
        <v>7915.0540540540542</v>
      </c>
      <c r="J28" s="4">
        <v>5670.478260869565</v>
      </c>
      <c r="K28" s="4">
        <v>1.3958353581343745</v>
      </c>
      <c r="L28" s="4">
        <v>40.700000000000003</v>
      </c>
      <c r="M28" s="4">
        <v>4.5</v>
      </c>
      <c r="N28" s="4">
        <v>23.8</v>
      </c>
      <c r="O28" s="4">
        <v>5.2888888888888888</v>
      </c>
      <c r="P28" s="4">
        <v>2.0720390720390722</v>
      </c>
      <c r="Q28" s="4" t="s">
        <v>159</v>
      </c>
      <c r="R28" s="4" t="s">
        <v>181</v>
      </c>
      <c r="T28" s="4" t="s">
        <v>22</v>
      </c>
      <c r="U28" s="4" t="s">
        <v>140</v>
      </c>
      <c r="V28" s="4" t="s">
        <v>140</v>
      </c>
      <c r="W28" s="4" t="s">
        <v>140</v>
      </c>
      <c r="X28" s="4" t="s">
        <v>22</v>
      </c>
    </row>
    <row r="29" spans="1:25" x14ac:dyDescent="0.2">
      <c r="A29" s="6" t="s">
        <v>80</v>
      </c>
      <c r="B29" s="6" t="s">
        <v>70</v>
      </c>
      <c r="C29" s="6" t="s">
        <v>81</v>
      </c>
      <c r="E29" s="4" t="s">
        <v>163</v>
      </c>
      <c r="F29" s="4" t="s">
        <v>165</v>
      </c>
      <c r="I29" s="4">
        <v>9890</v>
      </c>
      <c r="J29" s="4">
        <v>5470</v>
      </c>
      <c r="K29" s="4">
        <v>1.8080438756855577</v>
      </c>
      <c r="L29" s="4">
        <v>63.8</v>
      </c>
      <c r="M29" s="4">
        <v>5.8</v>
      </c>
      <c r="N29" s="4">
        <v>20.2</v>
      </c>
      <c r="O29" s="4">
        <v>3.4827586206896552</v>
      </c>
      <c r="P29" s="4">
        <v>2.6124780316344465</v>
      </c>
      <c r="Q29" s="4" t="s">
        <v>159</v>
      </c>
      <c r="R29" s="4" t="s">
        <v>181</v>
      </c>
      <c r="U29" s="4" t="s">
        <v>22</v>
      </c>
      <c r="V29" s="4" t="s">
        <v>140</v>
      </c>
      <c r="W29" s="4" t="s">
        <v>140</v>
      </c>
      <c r="X29" s="4" t="s">
        <v>22</v>
      </c>
    </row>
    <row r="30" spans="1:25" x14ac:dyDescent="0.2">
      <c r="A30" s="6" t="s">
        <v>82</v>
      </c>
      <c r="B30" s="6" t="s">
        <v>70</v>
      </c>
      <c r="C30" s="6" t="s">
        <v>83</v>
      </c>
      <c r="E30" s="4" t="s">
        <v>163</v>
      </c>
      <c r="F30" s="4" t="s">
        <v>165</v>
      </c>
      <c r="I30" s="4">
        <v>5680</v>
      </c>
      <c r="J30" s="4">
        <v>3200</v>
      </c>
      <c r="K30" s="4">
        <v>1.7749999999999999</v>
      </c>
      <c r="L30" s="4">
        <v>24.5</v>
      </c>
      <c r="M30" s="4">
        <v>2.7</v>
      </c>
      <c r="N30" s="4">
        <v>6.2</v>
      </c>
      <c r="O30" s="4">
        <v>2.2962962962962963</v>
      </c>
      <c r="P30" s="4">
        <v>1.9769076305220883</v>
      </c>
      <c r="Q30" s="4" t="s">
        <v>159</v>
      </c>
      <c r="R30" s="4" t="s">
        <v>181</v>
      </c>
      <c r="U30" s="4" t="s">
        <v>22</v>
      </c>
      <c r="V30" s="4" t="s">
        <v>140</v>
      </c>
      <c r="W30" s="4" t="s">
        <v>140</v>
      </c>
      <c r="X30" s="4" t="s">
        <v>22</v>
      </c>
    </row>
    <row r="31" spans="1:25" x14ac:dyDescent="0.2">
      <c r="A31" s="6" t="s">
        <v>84</v>
      </c>
      <c r="B31" s="6" t="s">
        <v>70</v>
      </c>
      <c r="C31" s="6" t="s">
        <v>85</v>
      </c>
      <c r="E31" s="4" t="s">
        <v>163</v>
      </c>
      <c r="F31" s="4" t="s">
        <v>165</v>
      </c>
      <c r="I31" s="4">
        <v>14530.303030302999</v>
      </c>
      <c r="J31" s="4">
        <v>9625</v>
      </c>
      <c r="K31" s="4">
        <v>1.5096418732782337</v>
      </c>
      <c r="L31" s="4">
        <v>18.2</v>
      </c>
      <c r="M31" s="4">
        <v>4.7</v>
      </c>
      <c r="N31" s="4">
        <v>7</v>
      </c>
      <c r="O31" s="4">
        <v>1.4893617021276595</v>
      </c>
      <c r="P31" s="4">
        <v>2.0203720106288752</v>
      </c>
      <c r="Q31" s="4" t="s">
        <v>159</v>
      </c>
      <c r="R31" s="4" t="s">
        <v>181</v>
      </c>
      <c r="U31" s="4" t="s">
        <v>140</v>
      </c>
      <c r="V31" s="4" t="s">
        <v>140</v>
      </c>
      <c r="W31" s="4" t="s">
        <v>140</v>
      </c>
      <c r="X31" s="4" t="s">
        <v>22</v>
      </c>
    </row>
    <row r="32" spans="1:25" x14ac:dyDescent="0.2">
      <c r="A32" s="2" t="s">
        <v>89</v>
      </c>
      <c r="B32" s="2" t="s">
        <v>87</v>
      </c>
      <c r="C32" s="2" t="s">
        <v>90</v>
      </c>
      <c r="E32" s="4" t="s">
        <v>163</v>
      </c>
      <c r="F32" s="4" t="s">
        <v>165</v>
      </c>
      <c r="G32" s="4" t="s">
        <v>169</v>
      </c>
      <c r="I32" s="4">
        <v>7790</v>
      </c>
      <c r="J32" s="4">
        <v>7620</v>
      </c>
      <c r="K32" s="4">
        <v>1.022</v>
      </c>
      <c r="L32" s="4">
        <v>4</v>
      </c>
      <c r="P32" s="4">
        <v>1.125</v>
      </c>
      <c r="Q32" s="4" t="s">
        <v>159</v>
      </c>
      <c r="R32" s="4" t="s">
        <v>181</v>
      </c>
      <c r="U32" s="4" t="s">
        <v>22</v>
      </c>
      <c r="V32" s="4" t="s">
        <v>22</v>
      </c>
      <c r="X32" s="4" t="s">
        <v>22</v>
      </c>
    </row>
    <row r="33" spans="1:25" x14ac:dyDescent="0.2">
      <c r="A33" s="6" t="s">
        <v>86</v>
      </c>
      <c r="B33" s="6" t="s">
        <v>87</v>
      </c>
      <c r="C33" s="6" t="s">
        <v>88</v>
      </c>
      <c r="E33" s="4" t="s">
        <v>163</v>
      </c>
      <c r="F33" s="4" t="s">
        <v>165</v>
      </c>
      <c r="G33" s="4" t="s">
        <v>169</v>
      </c>
      <c r="I33" s="4">
        <v>7410</v>
      </c>
      <c r="J33" s="4">
        <v>7320</v>
      </c>
      <c r="K33" s="4">
        <v>1.0122950819672132</v>
      </c>
      <c r="Q33" s="4" t="s">
        <v>159</v>
      </c>
      <c r="R33" s="4" t="s">
        <v>181</v>
      </c>
      <c r="U33" s="4" t="s">
        <v>140</v>
      </c>
    </row>
    <row r="34" spans="1:25" x14ac:dyDescent="0.2">
      <c r="A34" s="6" t="s">
        <v>91</v>
      </c>
      <c r="B34" s="6" t="s">
        <v>92</v>
      </c>
      <c r="C34" s="6" t="s">
        <v>93</v>
      </c>
      <c r="E34" s="4" t="s">
        <v>164</v>
      </c>
      <c r="F34" s="4" t="s">
        <v>165</v>
      </c>
      <c r="H34" s="4">
        <v>135.19999999999999</v>
      </c>
      <c r="I34" s="4">
        <v>45000</v>
      </c>
      <c r="J34" s="4">
        <v>33200</v>
      </c>
      <c r="K34" s="4">
        <v>1.3554216867469879</v>
      </c>
      <c r="L34" s="4">
        <v>25.3</v>
      </c>
      <c r="M34" s="4">
        <v>4.9000000000000004</v>
      </c>
      <c r="N34" s="4">
        <v>8.6</v>
      </c>
      <c r="O34" s="4">
        <f>N34/M34</f>
        <v>1.7551020408163263</v>
      </c>
      <c r="P34" s="4">
        <v>1.3843416370106763</v>
      </c>
      <c r="Q34" s="4" t="s">
        <v>159</v>
      </c>
      <c r="R34" s="4" t="s">
        <v>181</v>
      </c>
      <c r="T34" s="4" t="s">
        <v>22</v>
      </c>
      <c r="U34" s="4" t="s">
        <v>22</v>
      </c>
      <c r="V34" s="4" t="s">
        <v>150</v>
      </c>
      <c r="W34" s="4" t="s">
        <v>142</v>
      </c>
      <c r="X34" s="4" t="s">
        <v>22</v>
      </c>
    </row>
    <row r="35" spans="1:25" x14ac:dyDescent="0.2">
      <c r="A35" s="4" t="s">
        <v>95</v>
      </c>
      <c r="B35" s="6" t="s">
        <v>92</v>
      </c>
      <c r="C35" s="6" t="s">
        <v>94</v>
      </c>
      <c r="E35" s="4" t="s">
        <v>164</v>
      </c>
      <c r="F35" s="4" t="s">
        <v>165</v>
      </c>
      <c r="H35" s="4">
        <v>128.9</v>
      </c>
      <c r="I35" s="4">
        <v>49566.666666666664</v>
      </c>
      <c r="J35" s="4">
        <v>40366.666666666664</v>
      </c>
      <c r="K35" s="4">
        <v>1.2279108175061932</v>
      </c>
      <c r="L35" s="4">
        <v>63.1</v>
      </c>
      <c r="M35" s="4">
        <v>8.6999999999999993</v>
      </c>
      <c r="N35" s="4">
        <v>25.2</v>
      </c>
      <c r="O35" s="4">
        <v>2.896551724137931</v>
      </c>
      <c r="P35" s="4">
        <v>1.4233289646133682</v>
      </c>
      <c r="Q35" s="4" t="s">
        <v>159</v>
      </c>
      <c r="R35" s="4" t="s">
        <v>181</v>
      </c>
      <c r="T35" s="4" t="s">
        <v>22</v>
      </c>
      <c r="U35" s="4" t="s">
        <v>140</v>
      </c>
      <c r="V35" s="4" t="s">
        <v>140</v>
      </c>
      <c r="W35" s="4" t="s">
        <v>140</v>
      </c>
      <c r="X35" s="4" t="s">
        <v>22</v>
      </c>
    </row>
    <row r="36" spans="1:25" x14ac:dyDescent="0.2">
      <c r="A36" s="6" t="s">
        <v>96</v>
      </c>
      <c r="B36" s="6" t="s">
        <v>97</v>
      </c>
      <c r="C36" s="6" t="s">
        <v>98</v>
      </c>
      <c r="E36" s="4" t="s">
        <v>163</v>
      </c>
      <c r="F36" s="4" t="s">
        <v>165</v>
      </c>
      <c r="H36" s="4">
        <v>78.42</v>
      </c>
      <c r="I36" s="4">
        <v>23000</v>
      </c>
      <c r="J36" s="4">
        <v>13300</v>
      </c>
      <c r="K36" s="4">
        <v>1.7293233082706767</v>
      </c>
      <c r="L36" s="4">
        <v>57.7</v>
      </c>
      <c r="M36" s="4">
        <v>7.2</v>
      </c>
      <c r="N36" s="4">
        <v>17.5</v>
      </c>
      <c r="O36" s="4">
        <v>2.4305555555555554</v>
      </c>
      <c r="P36" s="4">
        <v>2.2213166144200627</v>
      </c>
      <c r="Q36" s="4" t="s">
        <v>159</v>
      </c>
      <c r="R36" s="4" t="s">
        <v>181</v>
      </c>
      <c r="T36" s="4" t="s">
        <v>22</v>
      </c>
      <c r="U36" s="4" t="s">
        <v>140</v>
      </c>
      <c r="V36" s="4" t="s">
        <v>140</v>
      </c>
      <c r="W36" s="4" t="s">
        <v>140</v>
      </c>
      <c r="X36" s="4" t="s">
        <v>22</v>
      </c>
    </row>
    <row r="37" spans="1:25" x14ac:dyDescent="0.2">
      <c r="A37" s="6" t="s">
        <v>99</v>
      </c>
      <c r="B37" s="6" t="s">
        <v>97</v>
      </c>
      <c r="C37" s="6" t="s">
        <v>100</v>
      </c>
      <c r="E37" s="4" t="s">
        <v>163</v>
      </c>
      <c r="F37" s="4" t="s">
        <v>165</v>
      </c>
      <c r="H37" s="4">
        <v>52</v>
      </c>
      <c r="I37" s="4">
        <v>22300</v>
      </c>
      <c r="J37" s="4">
        <v>12000</v>
      </c>
      <c r="K37" s="4">
        <v>1.8583333333333334</v>
      </c>
      <c r="L37" s="4">
        <v>55</v>
      </c>
      <c r="M37" s="4">
        <v>7</v>
      </c>
      <c r="N37" s="4">
        <v>19.399999999999999</v>
      </c>
      <c r="O37" s="4">
        <v>2.7714285714285714</v>
      </c>
      <c r="P37" s="4">
        <v>3.0032894736842111</v>
      </c>
      <c r="Q37" s="4" t="s">
        <v>159</v>
      </c>
      <c r="R37" s="4" t="s">
        <v>181</v>
      </c>
      <c r="T37" s="4" t="s">
        <v>22</v>
      </c>
      <c r="U37" s="4" t="s">
        <v>140</v>
      </c>
      <c r="V37" s="4" t="s">
        <v>140</v>
      </c>
      <c r="W37" s="4" t="s">
        <v>140</v>
      </c>
      <c r="X37" s="4" t="s">
        <v>22</v>
      </c>
    </row>
    <row r="38" spans="1:25" x14ac:dyDescent="0.2">
      <c r="A38" s="6" t="s">
        <v>101</v>
      </c>
      <c r="B38" s="6" t="s">
        <v>97</v>
      </c>
      <c r="C38" s="6" t="s">
        <v>102</v>
      </c>
      <c r="E38" s="4" t="s">
        <v>164</v>
      </c>
      <c r="F38" s="4" t="s">
        <v>166</v>
      </c>
      <c r="H38" s="4">
        <v>27.1</v>
      </c>
      <c r="I38" s="4">
        <v>18000</v>
      </c>
      <c r="J38" s="4">
        <v>10300</v>
      </c>
      <c r="K38" s="4">
        <v>1.7475728155339805</v>
      </c>
      <c r="L38" s="4">
        <v>6.4</v>
      </c>
      <c r="M38" s="4">
        <v>1.01</v>
      </c>
      <c r="N38" s="4">
        <v>2.23</v>
      </c>
      <c r="O38" s="4">
        <v>2.21</v>
      </c>
      <c r="P38" s="4">
        <v>2.7430617726051927</v>
      </c>
      <c r="Q38" s="4" t="s">
        <v>159</v>
      </c>
      <c r="R38" s="4" t="s">
        <v>181</v>
      </c>
      <c r="T38" s="4" t="s">
        <v>22</v>
      </c>
      <c r="U38" s="4" t="s">
        <v>140</v>
      </c>
      <c r="V38" s="4" t="s">
        <v>143</v>
      </c>
      <c r="W38" s="4" t="s">
        <v>143</v>
      </c>
      <c r="X38" s="4" t="s">
        <v>22</v>
      </c>
    </row>
    <row r="39" spans="1:25" x14ac:dyDescent="0.2">
      <c r="A39" s="9" t="s">
        <v>103</v>
      </c>
      <c r="B39" s="9" t="s">
        <v>97</v>
      </c>
      <c r="C39" s="9" t="s">
        <v>104</v>
      </c>
      <c r="D39" s="9"/>
      <c r="E39" s="4" t="s">
        <v>164</v>
      </c>
      <c r="F39" s="4" t="s">
        <v>166</v>
      </c>
      <c r="I39" s="4">
        <v>20200</v>
      </c>
      <c r="J39" s="4">
        <v>11880</v>
      </c>
      <c r="K39" s="4">
        <v>1.7</v>
      </c>
      <c r="O39" s="4">
        <v>1.53</v>
      </c>
      <c r="P39" s="4">
        <v>3.14</v>
      </c>
      <c r="Q39" s="4" t="s">
        <v>159</v>
      </c>
      <c r="R39" s="4" t="s">
        <v>181</v>
      </c>
      <c r="U39" s="4" t="s">
        <v>139</v>
      </c>
      <c r="W39" s="4" t="s">
        <v>139</v>
      </c>
      <c r="X39" s="4" t="s">
        <v>139</v>
      </c>
    </row>
    <row r="40" spans="1:25" x14ac:dyDescent="0.2">
      <c r="A40" s="4" t="s">
        <v>105</v>
      </c>
      <c r="B40" s="4" t="s">
        <v>97</v>
      </c>
      <c r="C40" s="4" t="s">
        <v>106</v>
      </c>
      <c r="E40" s="4" t="s">
        <v>163</v>
      </c>
      <c r="F40" s="4" t="s">
        <v>165</v>
      </c>
      <c r="H40" s="4">
        <v>69.760000000000005</v>
      </c>
      <c r="I40" s="4">
        <v>29800</v>
      </c>
      <c r="J40" s="4">
        <v>14800</v>
      </c>
      <c r="K40" s="4">
        <v>2.0135135135135136</v>
      </c>
      <c r="L40" s="4">
        <v>34.700000000000003</v>
      </c>
      <c r="M40" s="4">
        <v>6.7</v>
      </c>
      <c r="N40" s="4">
        <v>13.9</v>
      </c>
      <c r="O40" s="4">
        <v>2.0746268656716418</v>
      </c>
      <c r="P40" s="4">
        <v>3.8391089108910896</v>
      </c>
      <c r="Q40" s="4" t="s">
        <v>159</v>
      </c>
      <c r="R40" s="4" t="s">
        <v>181</v>
      </c>
      <c r="T40" s="4" t="s">
        <v>22</v>
      </c>
      <c r="U40" s="4" t="s">
        <v>22</v>
      </c>
      <c r="V40" s="4" t="s">
        <v>140</v>
      </c>
      <c r="W40" s="4" t="s">
        <v>140</v>
      </c>
      <c r="X40" s="4" t="s">
        <v>22</v>
      </c>
    </row>
    <row r="41" spans="1:25" x14ac:dyDescent="0.2">
      <c r="A41" s="6" t="s">
        <v>107</v>
      </c>
      <c r="B41" s="6" t="s">
        <v>108</v>
      </c>
      <c r="C41" s="6" t="s">
        <v>109</v>
      </c>
      <c r="E41" s="4" t="s">
        <v>163</v>
      </c>
      <c r="F41" s="4" t="s">
        <v>165</v>
      </c>
      <c r="G41" s="4" t="s">
        <v>170</v>
      </c>
      <c r="H41" s="4">
        <v>0.42</v>
      </c>
      <c r="I41" s="4">
        <v>328</v>
      </c>
      <c r="J41" s="4">
        <v>350</v>
      </c>
      <c r="K41" s="4">
        <v>0.93714285714285717</v>
      </c>
      <c r="L41" s="4">
        <v>2</v>
      </c>
      <c r="M41" s="4">
        <v>1</v>
      </c>
      <c r="N41" s="4">
        <v>1</v>
      </c>
      <c r="O41" s="4">
        <v>1</v>
      </c>
      <c r="Q41" s="4" t="s">
        <v>159</v>
      </c>
      <c r="R41" s="4" t="s">
        <v>181</v>
      </c>
      <c r="T41" s="4" t="s">
        <v>185</v>
      </c>
      <c r="U41" s="4" t="s">
        <v>140</v>
      </c>
      <c r="V41" s="4" t="s">
        <v>140</v>
      </c>
      <c r="W41" s="4" t="s">
        <v>140</v>
      </c>
      <c r="Y41" s="4" t="s">
        <v>184</v>
      </c>
    </row>
    <row r="42" spans="1:25" x14ac:dyDescent="0.2">
      <c r="A42" s="10" t="s">
        <v>134</v>
      </c>
      <c r="B42" s="6" t="s">
        <v>135</v>
      </c>
      <c r="C42" s="6" t="s">
        <v>136</v>
      </c>
      <c r="E42" s="4" t="s">
        <v>163</v>
      </c>
      <c r="F42" s="4" t="s">
        <v>165</v>
      </c>
      <c r="G42" s="4" t="s">
        <v>169</v>
      </c>
      <c r="I42" s="4">
        <v>1940</v>
      </c>
      <c r="J42" s="4">
        <v>1580</v>
      </c>
      <c r="K42" s="4">
        <v>1.228</v>
      </c>
      <c r="L42" s="4">
        <v>3.5</v>
      </c>
      <c r="M42" s="4">
        <v>1.2</v>
      </c>
      <c r="N42" s="4">
        <v>1.2</v>
      </c>
      <c r="O42" s="4">
        <f>N42/M42</f>
        <v>1</v>
      </c>
      <c r="P42" s="4">
        <v>1.1739999999999999</v>
      </c>
      <c r="Q42" s="4" t="s">
        <v>159</v>
      </c>
      <c r="R42" s="4" t="s">
        <v>181</v>
      </c>
      <c r="U42" s="4" t="s">
        <v>140</v>
      </c>
      <c r="V42" s="4" t="s">
        <v>137</v>
      </c>
      <c r="W42" s="4" t="s">
        <v>137</v>
      </c>
      <c r="X42" s="4" t="s">
        <v>140</v>
      </c>
    </row>
    <row r="43" spans="1:25" x14ac:dyDescent="0.2">
      <c r="A43" s="10" t="s">
        <v>174</v>
      </c>
      <c r="B43" s="6" t="s">
        <v>172</v>
      </c>
      <c r="C43" s="6" t="s">
        <v>175</v>
      </c>
      <c r="E43" s="4" t="s">
        <v>163</v>
      </c>
      <c r="F43" s="4" t="s">
        <v>165</v>
      </c>
      <c r="I43" s="4">
        <v>84482.5</v>
      </c>
      <c r="J43" s="4">
        <v>41148</v>
      </c>
      <c r="K43" s="4">
        <v>2.0531374550403423</v>
      </c>
      <c r="P43" s="4">
        <v>1.71</v>
      </c>
      <c r="Q43" s="4" t="s">
        <v>177</v>
      </c>
      <c r="R43" s="4" t="s">
        <v>181</v>
      </c>
      <c r="U43" s="4" t="s">
        <v>140</v>
      </c>
      <c r="X43" s="4" t="s">
        <v>140</v>
      </c>
    </row>
    <row r="44" spans="1:25" x14ac:dyDescent="0.2">
      <c r="A44" s="6" t="s">
        <v>171</v>
      </c>
      <c r="B44" s="6" t="s">
        <v>172</v>
      </c>
      <c r="C44" s="6" t="s">
        <v>173</v>
      </c>
      <c r="E44" s="4" t="s">
        <v>163</v>
      </c>
      <c r="F44" s="4" t="s">
        <v>165</v>
      </c>
      <c r="H44" s="4">
        <v>35.299999999999997</v>
      </c>
      <c r="I44" s="4">
        <v>80136.857142857145</v>
      </c>
      <c r="J44" s="4">
        <v>36947.63636363636</v>
      </c>
      <c r="K44" s="4">
        <v>2.1689305468462212</v>
      </c>
      <c r="L44" s="4">
        <v>2</v>
      </c>
      <c r="M44" s="4">
        <v>1</v>
      </c>
      <c r="N44" s="4">
        <v>1</v>
      </c>
      <c r="O44" s="4">
        <v>1</v>
      </c>
      <c r="P44" s="4">
        <v>1.6930000000000001</v>
      </c>
      <c r="Q44" s="4" t="s">
        <v>176</v>
      </c>
      <c r="R44" s="4" t="s">
        <v>181</v>
      </c>
      <c r="T44" s="4" t="s">
        <v>22</v>
      </c>
      <c r="U44" s="4" t="s">
        <v>140</v>
      </c>
      <c r="V44" s="4" t="s">
        <v>140</v>
      </c>
      <c r="W44" s="4" t="s">
        <v>140</v>
      </c>
      <c r="X44" s="4" t="s">
        <v>140</v>
      </c>
    </row>
    <row r="45" spans="1:25" x14ac:dyDescent="0.2">
      <c r="A45" s="6" t="s">
        <v>110</v>
      </c>
      <c r="B45" s="6" t="s">
        <v>111</v>
      </c>
      <c r="C45" s="6" t="s">
        <v>112</v>
      </c>
      <c r="E45" s="4" t="s">
        <v>163</v>
      </c>
      <c r="F45" s="4" t="s">
        <v>165</v>
      </c>
      <c r="H45" s="4">
        <v>3.24</v>
      </c>
      <c r="I45" s="4">
        <v>2930</v>
      </c>
      <c r="J45" s="4">
        <v>2980</v>
      </c>
      <c r="K45" s="4">
        <v>0.98322147651006708</v>
      </c>
      <c r="L45" s="4">
        <v>5</v>
      </c>
      <c r="M45" s="4">
        <v>1.7</v>
      </c>
      <c r="N45" s="4">
        <v>2.8</v>
      </c>
      <c r="O45" s="4">
        <v>1.6470588235294117</v>
      </c>
      <c r="P45" s="4">
        <v>1.0605296343001263</v>
      </c>
      <c r="Q45" s="4" t="s">
        <v>159</v>
      </c>
      <c r="R45" s="4" t="s">
        <v>181</v>
      </c>
      <c r="T45" s="4" t="s">
        <v>22</v>
      </c>
      <c r="U45" s="4" t="s">
        <v>140</v>
      </c>
      <c r="V45" s="4" t="s">
        <v>140</v>
      </c>
      <c r="W45" s="4" t="s">
        <v>140</v>
      </c>
      <c r="X45" s="4" t="s">
        <v>22</v>
      </c>
    </row>
    <row r="46" spans="1:25" x14ac:dyDescent="0.2">
      <c r="A46" s="9" t="s">
        <v>113</v>
      </c>
      <c r="B46" s="9" t="s">
        <v>114</v>
      </c>
      <c r="C46" s="9" t="s">
        <v>115</v>
      </c>
      <c r="E46" s="4" t="s">
        <v>163</v>
      </c>
      <c r="F46" s="4" t="s">
        <v>166</v>
      </c>
      <c r="I46" s="4">
        <v>17900</v>
      </c>
      <c r="J46" s="4">
        <v>11600</v>
      </c>
      <c r="K46" s="4">
        <v>1.5431034482758621</v>
      </c>
      <c r="L46" s="4">
        <v>215</v>
      </c>
      <c r="P46" s="4">
        <v>2.5074999999999998</v>
      </c>
      <c r="Q46" s="4" t="s">
        <v>159</v>
      </c>
      <c r="R46" s="4" t="s">
        <v>181</v>
      </c>
      <c r="U46" s="4" t="s">
        <v>22</v>
      </c>
      <c r="V46" s="4" t="s">
        <v>22</v>
      </c>
      <c r="X46" s="4" t="s">
        <v>22</v>
      </c>
    </row>
    <row r="47" spans="1:25" x14ac:dyDescent="0.2">
      <c r="A47" s="6" t="s">
        <v>116</v>
      </c>
      <c r="B47" s="6" t="s">
        <v>117</v>
      </c>
      <c r="C47" s="6" t="s">
        <v>118</v>
      </c>
      <c r="E47" s="4" t="s">
        <v>163</v>
      </c>
      <c r="F47" s="4" t="s">
        <v>165</v>
      </c>
      <c r="G47" s="4" t="s">
        <v>169</v>
      </c>
      <c r="I47" s="4">
        <v>499.33333333333331</v>
      </c>
      <c r="J47" s="4">
        <v>534.42857142857144</v>
      </c>
      <c r="K47" s="4">
        <v>0.93433128397041787</v>
      </c>
      <c r="L47" s="4">
        <v>6.3</v>
      </c>
      <c r="M47" s="4">
        <v>2.4</v>
      </c>
      <c r="N47" s="4">
        <v>2.1</v>
      </c>
      <c r="O47" s="4">
        <v>0.87500000000000011</v>
      </c>
      <c r="Q47" s="4" t="s">
        <v>159</v>
      </c>
      <c r="R47" s="4" t="s">
        <v>181</v>
      </c>
      <c r="U47" s="4" t="s">
        <v>140</v>
      </c>
      <c r="V47" s="4" t="s">
        <v>140</v>
      </c>
      <c r="W47" s="4" t="s">
        <v>140</v>
      </c>
    </row>
    <row r="48" spans="1:25" x14ac:dyDescent="0.2">
      <c r="A48" s="6" t="s">
        <v>119</v>
      </c>
      <c r="B48" s="6" t="s">
        <v>117</v>
      </c>
      <c r="C48" s="6" t="s">
        <v>120</v>
      </c>
      <c r="E48" s="4" t="s">
        <v>163</v>
      </c>
      <c r="F48" s="4" t="s">
        <v>165</v>
      </c>
      <c r="G48" s="4" t="s">
        <v>169</v>
      </c>
      <c r="I48" s="4">
        <v>629.25</v>
      </c>
      <c r="J48" s="4">
        <v>538</v>
      </c>
      <c r="K48" s="4">
        <v>1.1696096654275092</v>
      </c>
      <c r="L48" s="4">
        <v>7</v>
      </c>
      <c r="M48" s="4">
        <v>2.2000000000000002</v>
      </c>
      <c r="N48" s="4">
        <v>2</v>
      </c>
      <c r="O48" s="4">
        <v>0.90909090909090906</v>
      </c>
      <c r="Q48" s="4" t="s">
        <v>159</v>
      </c>
      <c r="R48" s="4" t="s">
        <v>181</v>
      </c>
      <c r="U48" s="4" t="s">
        <v>140</v>
      </c>
      <c r="V48" s="4" t="s">
        <v>140</v>
      </c>
      <c r="W48" s="4" t="s">
        <v>140</v>
      </c>
    </row>
    <row r="49" spans="1:25" x14ac:dyDescent="0.2">
      <c r="A49" s="6" t="s">
        <v>121</v>
      </c>
      <c r="B49" s="6" t="s">
        <v>122</v>
      </c>
      <c r="C49" s="6" t="s">
        <v>123</v>
      </c>
      <c r="E49" s="4" t="s">
        <v>163</v>
      </c>
      <c r="F49" s="4" t="s">
        <v>165</v>
      </c>
      <c r="H49" s="4">
        <v>11.1</v>
      </c>
      <c r="I49" s="4">
        <v>18144</v>
      </c>
      <c r="J49" s="4">
        <v>11340</v>
      </c>
      <c r="K49" s="4">
        <v>1.6</v>
      </c>
      <c r="L49" s="4">
        <v>30.2</v>
      </c>
      <c r="M49" s="4">
        <v>1.8</v>
      </c>
      <c r="N49" s="4">
        <v>11.5</v>
      </c>
      <c r="O49" s="4">
        <v>6.3888888888888884</v>
      </c>
      <c r="P49" s="4">
        <v>2.0576725025746652</v>
      </c>
      <c r="Q49" s="4" t="s">
        <v>159</v>
      </c>
      <c r="R49" s="4" t="s">
        <v>181</v>
      </c>
      <c r="T49" s="4" t="s">
        <v>22</v>
      </c>
      <c r="U49" s="4" t="s">
        <v>140</v>
      </c>
      <c r="V49" s="4" t="s">
        <v>140</v>
      </c>
      <c r="W49" s="4" t="s">
        <v>140</v>
      </c>
      <c r="X49" s="4" t="s">
        <v>140</v>
      </c>
    </row>
    <row r="50" spans="1:25" x14ac:dyDescent="0.2">
      <c r="A50" s="2" t="s">
        <v>124</v>
      </c>
      <c r="B50" s="2" t="s">
        <v>125</v>
      </c>
      <c r="C50" s="2" t="s">
        <v>126</v>
      </c>
      <c r="E50" s="4" t="s">
        <v>163</v>
      </c>
      <c r="F50" s="4" t="s">
        <v>165</v>
      </c>
      <c r="G50" s="4" t="s">
        <v>170</v>
      </c>
      <c r="I50" s="4">
        <v>128</v>
      </c>
      <c r="J50" s="4">
        <v>123</v>
      </c>
      <c r="K50" s="4">
        <v>1.0409999999999999</v>
      </c>
      <c r="Q50" s="4" t="s">
        <v>159</v>
      </c>
      <c r="R50" s="4" t="s">
        <v>181</v>
      </c>
      <c r="U50" s="4" t="s">
        <v>140</v>
      </c>
      <c r="Y50" s="4" t="s">
        <v>141</v>
      </c>
    </row>
    <row r="51" spans="1:25" x14ac:dyDescent="0.2">
      <c r="A51" s="6" t="s">
        <v>127</v>
      </c>
      <c r="B51" s="6" t="s">
        <v>128</v>
      </c>
      <c r="C51" s="6" t="s">
        <v>129</v>
      </c>
      <c r="E51" s="4" t="s">
        <v>163</v>
      </c>
      <c r="F51" s="4" t="s">
        <v>166</v>
      </c>
      <c r="H51" s="4">
        <v>19.3</v>
      </c>
      <c r="I51" s="4">
        <v>19000</v>
      </c>
      <c r="J51" s="4">
        <v>11700</v>
      </c>
      <c r="K51" s="4">
        <v>1.6239316239316239</v>
      </c>
      <c r="L51" s="4">
        <v>10</v>
      </c>
      <c r="M51" s="4">
        <v>1.5</v>
      </c>
      <c r="N51" s="4">
        <v>4.0999999999999996</v>
      </c>
      <c r="O51" s="4">
        <v>2.7333333333333329</v>
      </c>
      <c r="P51" s="4">
        <v>3.2290000000000001</v>
      </c>
      <c r="Q51" s="4" t="s">
        <v>159</v>
      </c>
      <c r="R51" s="4" t="s">
        <v>181</v>
      </c>
      <c r="T51" s="4" t="s">
        <v>22</v>
      </c>
      <c r="U51" s="4" t="s">
        <v>22</v>
      </c>
      <c r="V51" s="4" t="s">
        <v>140</v>
      </c>
      <c r="W51" s="4" t="s">
        <v>140</v>
      </c>
      <c r="X51" s="4" t="s">
        <v>22</v>
      </c>
    </row>
    <row r="52" spans="1:25" x14ac:dyDescent="0.2">
      <c r="A52" s="6" t="s">
        <v>130</v>
      </c>
      <c r="B52" s="6" t="s">
        <v>131</v>
      </c>
      <c r="C52" s="6" t="s">
        <v>132</v>
      </c>
      <c r="E52" s="4" t="s">
        <v>163</v>
      </c>
      <c r="F52" s="4" t="s">
        <v>165</v>
      </c>
      <c r="I52" s="4">
        <v>7767.833333333333</v>
      </c>
      <c r="J52" s="4">
        <v>7182</v>
      </c>
      <c r="K52" s="4">
        <v>1.0815696649029982</v>
      </c>
      <c r="Q52" s="4" t="s">
        <v>159</v>
      </c>
      <c r="R52" s="4" t="s">
        <v>181</v>
      </c>
      <c r="U52" s="4" t="s">
        <v>140</v>
      </c>
      <c r="Y52" s="4" t="s">
        <v>183</v>
      </c>
    </row>
    <row r="53" spans="1:25" x14ac:dyDescent="0.2">
      <c r="A53" s="6" t="s">
        <v>133</v>
      </c>
      <c r="B53" s="6" t="s">
        <v>131</v>
      </c>
      <c r="C53" s="6" t="s">
        <v>161</v>
      </c>
      <c r="E53" s="4" t="s">
        <v>163</v>
      </c>
      <c r="F53" s="4" t="s">
        <v>165</v>
      </c>
      <c r="I53" s="4">
        <v>8800</v>
      </c>
      <c r="J53" s="4">
        <v>7800</v>
      </c>
      <c r="K53" s="4">
        <v>1.1282051282051282</v>
      </c>
      <c r="Q53" s="4" t="s">
        <v>159</v>
      </c>
      <c r="R53" s="4" t="s">
        <v>181</v>
      </c>
      <c r="U53" s="4" t="s">
        <v>138</v>
      </c>
      <c r="Y53" s="4" t="s">
        <v>160</v>
      </c>
    </row>
  </sheetData>
  <autoFilter ref="A1:X53" xr:uid="{C79843E1-5E17-3847-B31B-8026F401C85B}">
    <sortState xmlns:xlrd2="http://schemas.microsoft.com/office/spreadsheetml/2017/richdata2" ref="A2:X53">
      <sortCondition ref="A1:A53"/>
    </sortState>
  </autoFilter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5129-C3D2-4148-B1CF-92F79B076F1E}">
  <dimension ref="A1"/>
  <sheetViews>
    <sheetView workbookViewId="0">
      <selection activeCell="D42" sqref="D42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Rosenbaum, Stacy</dc:creator>
  <cp:lastModifiedBy>Rosenbaum, Stacy</cp:lastModifiedBy>
  <dcterms:created xsi:type="dcterms:W3CDTF">2023-10-18T14:49:52Z</dcterms:created>
  <dcterms:modified xsi:type="dcterms:W3CDTF">2026-03-14T21:03:33Z</dcterms:modified>
</cp:coreProperties>
</file>